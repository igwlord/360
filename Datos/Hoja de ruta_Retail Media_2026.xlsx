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 Media" sheetId="1" r:id="rId5"/>
  </sheets>
  <definedNames>
    <definedName hidden="1" localSheetId="0" name="_xlnm._FilterDatabase">'Retail Media'!$A$1:$L$24</definedName>
  </definedNames>
  <calcPr/>
</workbook>
</file>

<file path=xl/sharedStrings.xml><?xml version="1.0" encoding="utf-8"?>
<sst xmlns="http://schemas.openxmlformats.org/spreadsheetml/2006/main" count="53" uniqueCount="29">
  <si>
    <t>Departamento</t>
  </si>
  <si>
    <t>Origen del Acuerdo</t>
  </si>
  <si>
    <t>Tiendas</t>
  </si>
  <si>
    <t>Evento/Fecha comercial</t>
  </si>
  <si>
    <t>Proveedor</t>
  </si>
  <si>
    <t>Marca</t>
  </si>
  <si>
    <t>Desglose</t>
  </si>
  <si>
    <t>Fecha de inicio</t>
  </si>
  <si>
    <t>Fecha de finalización</t>
  </si>
  <si>
    <t>Presupuesto Activacion</t>
  </si>
  <si>
    <t>Estado</t>
  </si>
  <si>
    <t>Ingreso Retail Media p/ acción</t>
  </si>
  <si>
    <t>Limpieza</t>
  </si>
  <si>
    <t>MDQ</t>
  </si>
  <si>
    <t>Campaña Mar del Plata</t>
  </si>
  <si>
    <t>Unilever</t>
  </si>
  <si>
    <t>Cif</t>
  </si>
  <si>
    <t>Maquina de pelotitas</t>
  </si>
  <si>
    <t>En curso</t>
  </si>
  <si>
    <t>Almacen</t>
  </si>
  <si>
    <t>Nestlé</t>
  </si>
  <si>
    <t>Nesquik</t>
  </si>
  <si>
    <t>Quicky Tour</t>
  </si>
  <si>
    <t>Sin comenzar</t>
  </si>
  <si>
    <t>Perfumería</t>
  </si>
  <si>
    <t>Vital</t>
  </si>
  <si>
    <t>Colgate</t>
  </si>
  <si>
    <t>Activación stand Vital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</si>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</sst>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b/>
      <color rgb="FF783F04"/>
      <name val="Arial"/>
      <scheme val="minor"/>
    </font>
    <font>
      <b/>
      <color rgb="FFB45F06"/>
      <name val="Arial"/>
      <scheme val="minor"/>
    </font>
    <font>
      <b/>
      <color rgb="FF7F6000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434343"/>
      <name val="Arial"/>
      <scheme val="minor"/>
    </font>
    <font>
      <color theme="1"/>
      <name val="Arial"/>
    </font>
    <font>
      <color rgb="FF434343"/>
      <name val="Arial"/>
    </font>
    <font>
      <b/>
      <sz val="12.0"/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F6B26B"/>
        <bgColor rgb="FFF6B26B"/>
      </patternFill>
    </fill>
    <fill>
      <patternFill patternType="solid">
        <fgColor theme="6"/>
        <bgColor theme="6"/>
      </patternFill>
    </fill>
    <fill>
      <patternFill patternType="solid">
        <fgColor rgb="FFFFD966"/>
        <bgColor rgb="FFFFD966"/>
      </patternFill>
    </fill>
    <fill>
      <patternFill patternType="solid">
        <fgColor rgb="FF5B3F86"/>
        <bgColor rgb="FF5B3F86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6CFE0"/>
      </left>
      <right style="thin">
        <color rgb="FFD6CFE0"/>
      </right>
      <top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0" fontId="1" numFmtId="0" xfId="0" applyFont="1"/>
    <xf borderId="0" fillId="0" fontId="6" numFmtId="0" xfId="0" applyAlignment="1" applyFont="1">
      <alignment readingOrder="0" shrinkToFit="0" vertical="center" wrapText="0"/>
    </xf>
    <xf borderId="2" fillId="9" fontId="7" numFmtId="0" xfId="0" applyAlignment="1" applyBorder="1" applyFill="1" applyFon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8" numFmtId="49" xfId="0" applyAlignment="1" applyFont="1" applyNumberForma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6" numFmtId="164" xfId="0" applyAlignment="1" applyFont="1" applyNumberFormat="1">
      <alignment readingOrder="0" shrinkToFit="0" vertical="center" wrapText="0"/>
    </xf>
    <xf borderId="3" fillId="10" fontId="9" numFmtId="0" xfId="0" applyAlignment="1" applyBorder="1" applyFill="1" applyFont="1">
      <alignment horizontal="center" readingOrder="0" shrinkToFit="0" vertical="center" wrapText="0"/>
    </xf>
    <xf borderId="0" fillId="11" fontId="6" numFmtId="0" xfId="0" applyAlignment="1" applyFill="1" applyFont="1">
      <alignment readingOrder="0" shrinkToFit="0" vertical="center" wrapText="0"/>
    </xf>
    <xf borderId="3" fillId="10" fontId="7" numFmtId="0" xfId="0" applyAlignment="1" applyBorder="1" applyFont="1">
      <alignment readingOrder="0" shrinkToFit="0" vertical="center" wrapText="0"/>
    </xf>
    <xf borderId="2" fillId="9" fontId="9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2" fillId="9" fontId="10" numFmtId="0" xfId="0" applyAlignment="1" applyBorder="1" applyFont="1">
      <alignment readingOrder="0"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8" numFmtId="49" xfId="0" applyAlignment="1" applyFont="1" applyNumberForma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6" numFmtId="164" xfId="0" applyAlignment="1" applyFont="1" applyNumberFormat="1">
      <alignment shrinkToFit="0" vertical="center" wrapText="0"/>
    </xf>
    <xf borderId="3" fillId="10" fontId="9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3" fillId="10" fontId="10" numFmtId="0" xfId="0" applyAlignment="1" applyBorder="1" applyFont="1">
      <alignment readingOrder="0" shrinkToFit="0" vertical="center" wrapText="0"/>
    </xf>
    <xf borderId="3" fillId="10" fontId="9" numFmtId="0" xfId="0" applyAlignment="1" applyBorder="1" applyFont="1">
      <alignment horizontal="center" shrinkToFit="0" vertical="center" wrapText="0"/>
    </xf>
    <xf borderId="0" fillId="9" fontId="10" numFmtId="0" xfId="0" applyAlignment="1" applyFont="1">
      <alignment readingOrder="0" shrinkToFit="0" vertical="center" wrapText="0"/>
    </xf>
    <xf borderId="0" fillId="9" fontId="9" numFmtId="0" xfId="0" applyAlignment="1" applyFont="1">
      <alignment horizontal="center" shrinkToFit="0" vertical="center" wrapText="0"/>
    </xf>
    <xf borderId="2" fillId="9" fontId="9" numFmtId="0" xfId="0" applyAlignment="1" applyBorder="1" applyFont="1">
      <alignment horizontal="center" shrinkToFit="0" vertical="center" wrapText="0"/>
    </xf>
    <xf borderId="0" fillId="12" fontId="6" numFmtId="0" xfId="0" applyAlignment="1" applyFill="1" applyFont="1">
      <alignment shrinkToFit="0" vertical="center" wrapText="0"/>
    </xf>
    <xf borderId="4" fillId="12" fontId="9" numFmtId="0" xfId="0" applyAlignment="1" applyBorder="1" applyFont="1">
      <alignment readingOrder="0" shrinkToFit="0" vertical="center" wrapText="0"/>
    </xf>
    <xf borderId="4" fillId="12" fontId="9" numFmtId="0" xfId="0" applyAlignment="1" applyBorder="1" applyFont="1">
      <alignment shrinkToFit="0" vertical="center" wrapText="0"/>
    </xf>
    <xf borderId="0" fillId="8" fontId="1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5" pivot="0" name="Retail Medi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L24" displayName="Presupuesto_del_evento" name="Presupuesto_del_evento" id="1">
  <autoFilter ref="$A$1:$L$24"/>
  <tableColumns count="12">
    <tableColumn name="Departamento" id="1"/>
    <tableColumn totalsRowLabel="&#10;" name="Origen del Acuerdo" id="2"/>
    <tableColumn name="Tiendas" id="3"/>
    <tableColumn name="Evento/Fecha comercial" id="4"/>
    <tableColumn name="Proveedor" id="5"/>
    <tableColumn name="Marca" id="6"/>
    <tableColumn name="Desglose" id="7"/>
    <tableColumn name="Fecha de inicio" id="8"/>
    <tableColumn name="Fecha de finalización" id="9"/>
    <tableColumn name="Presupuesto Activacion" id="10"/>
    <tableColumn name="Estado" id="11"/>
    <tableColumn totalsRowFunction="custom" name="Ingreso Retail Media p/ acción" id="12"/>
  </tableColumns>
  <tableStyleInfo name="Retail Med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9.75"/>
    <col customWidth="1" min="3" max="3" width="15.13"/>
    <col customWidth="1" min="4" max="4" width="22.25"/>
    <col customWidth="1" min="5" max="5" width="21.13"/>
    <col customWidth="1" min="6" max="6" width="16.75"/>
    <col customWidth="1" min="7" max="7" width="20.88"/>
    <col customWidth="1" min="8" max="8" width="20.13"/>
    <col customWidth="1" min="9" max="9" width="17.63"/>
    <col customWidth="1" min="10" max="10" width="20.0"/>
    <col customWidth="1" min="11" max="11" width="18.5"/>
    <col customWidth="1" min="12" max="12" width="22.63"/>
  </cols>
  <sheetData>
    <row r="1" ht="22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1" t="s">
        <v>7</v>
      </c>
      <c r="I1" s="1" t="s">
        <v>8</v>
      </c>
      <c r="J1" s="8" t="s">
        <v>9</v>
      </c>
      <c r="K1" s="1" t="s">
        <v>10</v>
      </c>
      <c r="L1" s="9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ht="22.5" customHeight="1">
      <c r="A2" s="11" t="s">
        <v>12</v>
      </c>
      <c r="B2" s="12" t="s">
        <v>4</v>
      </c>
      <c r="C2" s="11" t="s">
        <v>13</v>
      </c>
      <c r="D2" s="13" t="s">
        <v>14</v>
      </c>
      <c r="E2" s="14" t="s">
        <v>15</v>
      </c>
      <c r="F2" s="15" t="s">
        <v>16</v>
      </c>
      <c r="G2" s="15" t="s">
        <v>17</v>
      </c>
      <c r="H2" s="16">
        <v>46030.0</v>
      </c>
      <c r="I2" s="16">
        <v>46033.0</v>
      </c>
      <c r="J2" s="17" t="b">
        <v>1</v>
      </c>
      <c r="K2" s="11" t="s">
        <v>18</v>
      </c>
      <c r="L2" s="18">
        <v>0.0</v>
      </c>
    </row>
    <row r="3" ht="22.5" customHeight="1">
      <c r="A3" s="11" t="s">
        <v>19</v>
      </c>
      <c r="B3" s="19" t="s">
        <v>4</v>
      </c>
      <c r="C3" s="11" t="s">
        <v>13</v>
      </c>
      <c r="D3" s="13" t="s">
        <v>14</v>
      </c>
      <c r="E3" s="14" t="s">
        <v>20</v>
      </c>
      <c r="F3" s="15" t="s">
        <v>21</v>
      </c>
      <c r="G3" s="15" t="s">
        <v>22</v>
      </c>
      <c r="H3" s="16">
        <v>46045.0</v>
      </c>
      <c r="I3" s="16">
        <v>46047.0</v>
      </c>
      <c r="J3" s="20" t="b">
        <v>1</v>
      </c>
      <c r="K3" s="11" t="s">
        <v>23</v>
      </c>
      <c r="L3" s="18">
        <v>0.0</v>
      </c>
    </row>
    <row r="4" ht="22.5" customHeight="1">
      <c r="A4" s="11" t="s">
        <v>24</v>
      </c>
      <c r="B4" s="21" t="s">
        <v>25</v>
      </c>
      <c r="C4" s="11" t="s">
        <v>13</v>
      </c>
      <c r="D4" s="13" t="s">
        <v>14</v>
      </c>
      <c r="E4" s="14" t="s">
        <v>26</v>
      </c>
      <c r="F4" s="15" t="s">
        <v>26</v>
      </c>
      <c r="G4" s="15" t="s">
        <v>27</v>
      </c>
      <c r="H4" s="16">
        <v>46032.0</v>
      </c>
      <c r="I4" s="16">
        <v>46061.0</v>
      </c>
      <c r="J4" s="17" t="b">
        <v>1</v>
      </c>
      <c r="K4" s="11" t="s">
        <v>23</v>
      </c>
      <c r="L4" s="22">
        <v>8500000.0</v>
      </c>
    </row>
    <row r="5" ht="22.5" customHeight="1">
      <c r="A5" s="11" t="s">
        <v>12</v>
      </c>
      <c r="B5" s="21" t="s">
        <v>25</v>
      </c>
      <c r="C5" s="11" t="s">
        <v>13</v>
      </c>
      <c r="D5" s="13" t="s">
        <v>14</v>
      </c>
      <c r="E5" s="14" t="s">
        <v>15</v>
      </c>
      <c r="F5" s="15" t="s">
        <v>16</v>
      </c>
      <c r="G5" s="15" t="s">
        <v>27</v>
      </c>
      <c r="H5" s="16">
        <v>46053.0</v>
      </c>
      <c r="I5" s="16">
        <v>46061.0</v>
      </c>
      <c r="J5" s="20" t="b">
        <v>1</v>
      </c>
      <c r="K5" s="23" t="s">
        <v>23</v>
      </c>
      <c r="L5" s="22">
        <v>4500000.0</v>
      </c>
    </row>
    <row r="6" ht="22.5" customHeight="1">
      <c r="A6" s="11" t="s">
        <v>24</v>
      </c>
      <c r="B6" s="19" t="s">
        <v>4</v>
      </c>
      <c r="C6" s="11" t="s">
        <v>13</v>
      </c>
      <c r="D6" s="13" t="s">
        <v>14</v>
      </c>
      <c r="E6" s="14" t="s">
        <v>26</v>
      </c>
      <c r="F6" s="15" t="s">
        <v>26</v>
      </c>
      <c r="G6" s="15" t="s">
        <v>27</v>
      </c>
      <c r="H6" s="16">
        <v>46060.0</v>
      </c>
      <c r="I6" s="16">
        <v>46061.0</v>
      </c>
      <c r="J6" s="17" t="b">
        <v>1</v>
      </c>
      <c r="K6" s="11" t="s">
        <v>23</v>
      </c>
      <c r="L6" s="18">
        <v>0.0</v>
      </c>
    </row>
    <row r="7" ht="22.5" customHeight="1">
      <c r="A7" s="24"/>
      <c r="B7" s="25"/>
      <c r="C7" s="24"/>
      <c r="D7" s="26"/>
      <c r="E7" s="27"/>
      <c r="F7" s="28"/>
      <c r="G7" s="28"/>
      <c r="H7" s="29"/>
      <c r="I7" s="29"/>
      <c r="J7" s="30"/>
      <c r="K7" s="24"/>
      <c r="L7" s="31"/>
    </row>
    <row r="8" ht="22.5" customHeight="1">
      <c r="A8" s="24"/>
      <c r="B8" s="32"/>
      <c r="C8" s="24"/>
      <c r="D8" s="26"/>
      <c r="E8" s="27"/>
      <c r="F8" s="28"/>
      <c r="G8" s="28"/>
      <c r="H8" s="29"/>
      <c r="I8" s="29"/>
      <c r="J8" s="33"/>
      <c r="K8" s="24"/>
      <c r="L8" s="31"/>
    </row>
    <row r="9" ht="22.5" customHeight="1">
      <c r="A9" s="24"/>
      <c r="B9" s="34"/>
      <c r="C9" s="24"/>
      <c r="D9" s="26"/>
      <c r="E9" s="27"/>
      <c r="F9" s="28"/>
      <c r="G9" s="28"/>
      <c r="H9" s="29"/>
      <c r="I9" s="29"/>
      <c r="J9" s="35" t="b">
        <v>0</v>
      </c>
      <c r="K9" s="24"/>
      <c r="L9" s="31"/>
    </row>
    <row r="10" ht="22.5" customHeight="1">
      <c r="A10" s="24"/>
      <c r="B10" s="34"/>
      <c r="C10" s="24"/>
      <c r="D10" s="26"/>
      <c r="E10" s="27"/>
      <c r="F10" s="28"/>
      <c r="G10" s="28"/>
      <c r="H10" s="29"/>
      <c r="I10" s="29"/>
      <c r="J10" s="35" t="b">
        <v>0</v>
      </c>
      <c r="K10" s="24"/>
      <c r="L10" s="31"/>
    </row>
    <row r="11" ht="22.5" customHeight="1">
      <c r="A11" s="24"/>
      <c r="B11" s="34"/>
      <c r="C11" s="24"/>
      <c r="D11" s="26"/>
      <c r="E11" s="27"/>
      <c r="F11" s="28"/>
      <c r="G11" s="28"/>
      <c r="H11" s="16">
        <v>46032.0</v>
      </c>
      <c r="I11" s="29"/>
      <c r="J11" s="35" t="b">
        <v>0</v>
      </c>
      <c r="K11" s="24"/>
      <c r="L11" s="31"/>
    </row>
    <row r="12" ht="22.5" customHeight="1">
      <c r="A12" s="24"/>
      <c r="B12" s="34"/>
      <c r="C12" s="24"/>
      <c r="D12" s="26"/>
      <c r="E12" s="27"/>
      <c r="F12" s="28"/>
      <c r="G12" s="28"/>
      <c r="H12" s="29"/>
      <c r="I12" s="29"/>
      <c r="J12" s="35" t="b">
        <v>0</v>
      </c>
      <c r="K12" s="24"/>
      <c r="L12" s="31"/>
    </row>
    <row r="13" ht="22.5" customHeight="1">
      <c r="A13" s="24"/>
      <c r="B13" s="34"/>
      <c r="C13" s="24"/>
      <c r="D13" s="26"/>
      <c r="E13" s="27"/>
      <c r="F13" s="28"/>
      <c r="G13" s="28"/>
      <c r="H13" s="29"/>
      <c r="I13" s="29"/>
      <c r="J13" s="35" t="b">
        <v>0</v>
      </c>
      <c r="K13" s="24"/>
      <c r="L13" s="31"/>
    </row>
    <row r="14" ht="22.5" customHeight="1">
      <c r="A14" s="24"/>
      <c r="B14" s="34"/>
      <c r="C14" s="24"/>
      <c r="D14" s="26"/>
      <c r="E14" s="27"/>
      <c r="F14" s="28"/>
      <c r="G14" s="28"/>
      <c r="H14" s="29"/>
      <c r="I14" s="29"/>
      <c r="J14" s="35" t="b">
        <v>0</v>
      </c>
      <c r="K14" s="24"/>
      <c r="L14" s="31"/>
    </row>
    <row r="15" ht="22.5" customHeight="1">
      <c r="A15" s="24"/>
      <c r="B15" s="34"/>
      <c r="C15" s="24"/>
      <c r="D15" s="26"/>
      <c r="E15" s="27"/>
      <c r="F15" s="28"/>
      <c r="G15" s="28"/>
      <c r="H15" s="29"/>
      <c r="I15" s="29"/>
      <c r="J15" s="35" t="b">
        <v>0</v>
      </c>
      <c r="K15" s="24"/>
      <c r="L15" s="31"/>
    </row>
    <row r="16" ht="22.5" customHeight="1">
      <c r="A16" s="24"/>
      <c r="B16" s="25"/>
      <c r="C16" s="24"/>
      <c r="D16" s="26"/>
      <c r="E16" s="27"/>
      <c r="F16" s="28"/>
      <c r="G16" s="28"/>
      <c r="H16" s="29"/>
      <c r="I16" s="29"/>
      <c r="J16" s="36"/>
      <c r="K16" s="24"/>
      <c r="L16" s="31"/>
    </row>
    <row r="17" ht="22.5" customHeight="1">
      <c r="A17" s="24"/>
      <c r="B17" s="32"/>
      <c r="C17" s="24"/>
      <c r="D17" s="26"/>
      <c r="E17" s="27"/>
      <c r="F17" s="28"/>
      <c r="G17" s="28"/>
      <c r="H17" s="29"/>
      <c r="I17" s="29"/>
      <c r="J17" s="30"/>
      <c r="K17" s="24"/>
      <c r="L17" s="31"/>
    </row>
    <row r="18" ht="22.5" customHeight="1">
      <c r="A18" s="24"/>
      <c r="B18" s="25"/>
      <c r="C18" s="24"/>
      <c r="D18" s="26"/>
      <c r="E18" s="27"/>
      <c r="F18" s="28"/>
      <c r="G18" s="28"/>
      <c r="H18" s="29"/>
      <c r="I18" s="29"/>
      <c r="J18" s="36"/>
      <c r="K18" s="24"/>
      <c r="L18" s="31"/>
    </row>
    <row r="19" ht="22.5" customHeight="1">
      <c r="A19" s="24"/>
      <c r="B19" s="32"/>
      <c r="C19" s="24"/>
      <c r="D19" s="26"/>
      <c r="E19" s="27"/>
      <c r="F19" s="28"/>
      <c r="G19" s="28"/>
      <c r="H19" s="29"/>
      <c r="I19" s="29"/>
      <c r="J19" s="30"/>
      <c r="K19" s="24"/>
      <c r="L19" s="31"/>
    </row>
    <row r="20" ht="22.5" customHeight="1">
      <c r="A20" s="24"/>
      <c r="B20" s="34"/>
      <c r="C20" s="24"/>
      <c r="D20" s="26"/>
      <c r="E20" s="27"/>
      <c r="F20" s="28"/>
      <c r="G20" s="28"/>
      <c r="H20" s="29"/>
      <c r="I20" s="29"/>
      <c r="J20" s="35" t="b">
        <v>0</v>
      </c>
      <c r="K20" s="24"/>
      <c r="L20" s="31"/>
    </row>
    <row r="21" ht="22.5" customHeight="1">
      <c r="A21" s="24"/>
      <c r="B21" s="34"/>
      <c r="C21" s="24"/>
      <c r="D21" s="26"/>
      <c r="E21" s="27"/>
      <c r="F21" s="28"/>
      <c r="G21" s="28"/>
      <c r="H21" s="29"/>
      <c r="I21" s="29"/>
      <c r="J21" s="35" t="b">
        <v>0</v>
      </c>
      <c r="K21" s="24"/>
      <c r="L21" s="31"/>
    </row>
    <row r="22" ht="22.5" customHeight="1">
      <c r="A22" s="24"/>
      <c r="B22" s="25"/>
      <c r="C22" s="24"/>
      <c r="D22" s="26"/>
      <c r="E22" s="27"/>
      <c r="F22" s="28"/>
      <c r="G22" s="28"/>
      <c r="H22" s="29"/>
      <c r="I22" s="29"/>
      <c r="J22" s="36"/>
      <c r="K22" s="24"/>
      <c r="L22" s="31"/>
    </row>
    <row r="23" ht="22.5" customHeight="1">
      <c r="A23" s="24"/>
      <c r="B23" s="32"/>
      <c r="C23" s="24"/>
      <c r="D23" s="26"/>
      <c r="E23" s="27"/>
      <c r="F23" s="28"/>
      <c r="G23" s="28"/>
      <c r="H23" s="29"/>
      <c r="I23" s="29"/>
      <c r="J23" s="30"/>
      <c r="K23" s="24"/>
      <c r="L23" s="31"/>
    </row>
    <row r="24" ht="22.5" customHeight="1">
      <c r="A24" s="37"/>
      <c r="B24" s="38" t="s">
        <v>28</v>
      </c>
      <c r="C24" s="37"/>
      <c r="D24" s="37"/>
      <c r="E24" s="37"/>
      <c r="F24" s="37"/>
      <c r="G24" s="37"/>
      <c r="H24" s="37"/>
      <c r="I24" s="37"/>
      <c r="J24" s="39"/>
      <c r="K24" s="37"/>
      <c r="L24" s="40">
        <f>SUM(Presupuesto_del_evento[Ingreso Retail Media p/ acción])</f>
        <v>13000000</v>
      </c>
    </row>
  </sheetData>
  <dataValidations>
    <dataValidation type="list" allowBlank="1" sqref="K2:K23">
      <formula1>"Sin comenzar,Cumplido,En curso,Pospuesto,Cancelado"</formula1>
    </dataValidation>
    <dataValidation type="list" allowBlank="1" sqref="A2:A23">
      <formula1>"Almacen,Bebidas,Frescos,Perfumería,Limpieza"</formula1>
    </dataValidation>
    <dataValidation type="custom" allowBlank="1" showDropDown="1" sqref="H2:I23">
      <formula1>OR(NOT(ISERROR(DATEVALUE(H2))), AND(ISNUMBER(H2), LEFT(CELL("format", H2))="D"))</formula1>
    </dataValidation>
    <dataValidation type="custom" allowBlank="1" showDropDown="1" sqref="L2:L23">
      <formula1>AND(ISNUMBER(L2),(NOT(OR(NOT(ISERROR(DATEVALUE(L2))), AND(ISNUMBER(L2), LEFT(CELL("format", L2))="D")))))</formula1>
    </dataValidation>
    <dataValidation allowBlank="1" showDropDown="1" sqref="D2:E23"/>
    <dataValidation type="list" allowBlank="1" sqref="C2:C23">
      <formula1>"Todas,Talar,Pilar,Malvinas,Abasto,Tronador,Avellaneda,Quilmes,Burzaco,La Plata,Moreno,San Justo,Loma Hermosa,Laferrere,MDQ,Neuquén,Salta,Santa Fe,Posadas,Resistencia,Bahía Blanca"</formula1>
    </dataValidation>
    <dataValidation type="list" allowBlank="1" sqref="B2:B23">
      <formula1>"Vital,Proveedor"</formula1>
    </dataValidation>
  </dataValidations>
  <drawing r:id="rId1"/>
  <tableParts count="1">
    <tablePart r:id="rId3"/>
  </tableParts>
</worksheet>
</file>